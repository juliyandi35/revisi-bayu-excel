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6115673-72D3-483D-B4EE-83833F711BD5}" xr6:coauthVersionLast="47" xr6:coauthVersionMax="47" xr10:uidLastSave="{00000000-0000-0000-0000-000000000000}"/>
  <bookViews>
    <workbookView xWindow="-110" yWindow="-110" windowWidth="19420" windowHeight="10300" activeTab="2" xr2:uid="{64FDE72A-39F6-4DB4-B709-B72589287B66}"/>
  </bookViews>
  <sheets>
    <sheet name="4.5" sheetId="1" r:id="rId1"/>
    <sheet name="4.6" sheetId="2" r:id="rId2"/>
    <sheet name="4.7" sheetId="3" r:id="rId3"/>
  </sheets>
  <definedNames>
    <definedName name="_Hlk193847414" localSheetId="0">'4.5'!$A$1</definedName>
    <definedName name="_Hlk193847854" localSheetId="1">'4.6'!$A$1</definedName>
    <definedName name="_Hlk193848682" localSheetId="2">'4.7'!$A$1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/>
  <c r="I17" i="2"/>
  <c r="J17" i="2" s="1"/>
  <c r="H17" i="2"/>
  <c r="H16" i="2"/>
  <c r="I15" i="2"/>
  <c r="J15" i="2" s="1"/>
  <c r="H15" i="2"/>
  <c r="H14" i="2"/>
  <c r="I13" i="2"/>
  <c r="J13" i="2" s="1"/>
  <c r="H13" i="2"/>
  <c r="H16" i="1"/>
  <c r="I15" i="1" s="1"/>
  <c r="J15" i="1" s="1"/>
  <c r="H15" i="1"/>
  <c r="H14" i="1"/>
  <c r="I13" i="1"/>
  <c r="J13" i="1" s="1"/>
  <c r="H13" i="1"/>
  <c r="H4" i="1"/>
  <c r="H12" i="1"/>
  <c r="I11" i="1"/>
  <c r="J11" i="1" s="1"/>
  <c r="H11" i="1"/>
  <c r="H10" i="1"/>
  <c r="I9" i="1"/>
  <c r="J9" i="1" s="1"/>
  <c r="H9" i="1"/>
  <c r="H8" i="1"/>
  <c r="I7" i="1"/>
  <c r="J7" i="1" s="1"/>
  <c r="H7" i="1"/>
  <c r="H6" i="1"/>
  <c r="I5" i="1"/>
  <c r="J5" i="1" s="1"/>
  <c r="H5" i="1"/>
  <c r="I3" i="1"/>
  <c r="J3" i="1" s="1"/>
  <c r="H3" i="1"/>
  <c r="H12" i="2"/>
  <c r="I11" i="2" s="1"/>
  <c r="J11" i="2" s="1"/>
  <c r="H11" i="2"/>
  <c r="H10" i="2"/>
  <c r="J9" i="2"/>
  <c r="I9" i="2"/>
  <c r="H9" i="2"/>
  <c r="H8" i="2"/>
  <c r="I7" i="2" s="1"/>
  <c r="J7" i="2" s="1"/>
  <c r="H7" i="2"/>
  <c r="H6" i="2"/>
  <c r="I5" i="2"/>
  <c r="J5" i="2" s="1"/>
  <c r="H5" i="2"/>
  <c r="H4" i="2"/>
  <c r="I3" i="2" s="1"/>
  <c r="J3" i="2" s="1"/>
  <c r="H3" i="2"/>
  <c r="G18" i="2"/>
  <c r="F18" i="2"/>
  <c r="E18" i="2"/>
  <c r="D18" i="2"/>
  <c r="C18" i="2"/>
  <c r="G16" i="2"/>
  <c r="F16" i="2"/>
  <c r="E16" i="2"/>
  <c r="D16" i="2"/>
  <c r="C16" i="2"/>
  <c r="G14" i="2"/>
  <c r="F14" i="2"/>
  <c r="E14" i="2"/>
  <c r="D14" i="2"/>
  <c r="C14" i="2"/>
  <c r="G12" i="2"/>
  <c r="F12" i="2"/>
  <c r="E12" i="2"/>
  <c r="D12" i="2"/>
  <c r="C12" i="2"/>
  <c r="G10" i="2"/>
  <c r="F10" i="2"/>
  <c r="E10" i="2"/>
  <c r="D10" i="2"/>
  <c r="C10" i="2"/>
  <c r="G8" i="2"/>
  <c r="F8" i="2"/>
  <c r="E8" i="2"/>
  <c r="D8" i="2"/>
  <c r="C8" i="2"/>
  <c r="G6" i="2"/>
  <c r="F6" i="2"/>
  <c r="E6" i="2"/>
  <c r="D6" i="2"/>
  <c r="C6" i="2"/>
  <c r="G4" i="2"/>
  <c r="F4" i="2"/>
  <c r="E4" i="2"/>
  <c r="D4" i="2"/>
  <c r="C4" i="2"/>
  <c r="G16" i="1"/>
  <c r="F16" i="1"/>
  <c r="E16" i="1"/>
  <c r="D16" i="1"/>
  <c r="C16" i="1"/>
  <c r="G14" i="1"/>
  <c r="F14" i="1"/>
  <c r="E14" i="1"/>
  <c r="D14" i="1"/>
  <c r="C14" i="1"/>
  <c r="G12" i="1"/>
  <c r="F12" i="1"/>
  <c r="E12" i="1"/>
  <c r="D12" i="1"/>
  <c r="C12" i="1"/>
  <c r="G10" i="1"/>
  <c r="F10" i="1"/>
  <c r="E10" i="1"/>
  <c r="D10" i="1"/>
  <c r="C10" i="1"/>
  <c r="G8" i="1"/>
  <c r="F8" i="1"/>
  <c r="E8" i="1"/>
  <c r="D8" i="1"/>
  <c r="C8" i="1"/>
  <c r="G6" i="1"/>
  <c r="F6" i="1"/>
  <c r="E6" i="1"/>
  <c r="D6" i="1"/>
  <c r="C6" i="1"/>
  <c r="G4" i="1"/>
  <c r="F4" i="1"/>
  <c r="E4" i="1"/>
  <c r="D4" i="1"/>
  <c r="C4" i="1"/>
  <c r="H11" i="3"/>
  <c r="H9" i="3"/>
  <c r="H7" i="3"/>
  <c r="H5" i="3"/>
  <c r="G12" i="3"/>
  <c r="F12" i="3"/>
  <c r="E12" i="3"/>
  <c r="D12" i="3"/>
  <c r="C12" i="3"/>
  <c r="H12" i="3" s="1"/>
  <c r="I11" i="3" s="1"/>
  <c r="J11" i="3" s="1"/>
  <c r="G10" i="3"/>
  <c r="F10" i="3"/>
  <c r="E10" i="3"/>
  <c r="D10" i="3"/>
  <c r="C10" i="3"/>
  <c r="G8" i="3"/>
  <c r="F8" i="3"/>
  <c r="E8" i="3"/>
  <c r="D8" i="3"/>
  <c r="C8" i="3"/>
  <c r="G6" i="3"/>
  <c r="F6" i="3"/>
  <c r="E6" i="3"/>
  <c r="D6" i="3"/>
  <c r="C6" i="3"/>
  <c r="C4" i="3"/>
  <c r="D4" i="3"/>
  <c r="E4" i="3"/>
  <c r="F4" i="3"/>
  <c r="G4" i="3"/>
  <c r="H3" i="3"/>
  <c r="H6" i="3" l="1"/>
  <c r="I5" i="3" s="1"/>
  <c r="J5" i="3" s="1"/>
  <c r="H10" i="3"/>
  <c r="I9" i="3" s="1"/>
  <c r="J9" i="3" s="1"/>
  <c r="H8" i="3"/>
  <c r="I7" i="3" s="1"/>
  <c r="J7" i="3" s="1"/>
  <c r="H4" i="3"/>
  <c r="J3" i="3" l="1"/>
  <c r="I3" i="3"/>
</calcChain>
</file>

<file path=xl/sharedStrings.xml><?xml version="1.0" encoding="utf-8"?>
<sst xmlns="http://schemas.openxmlformats.org/spreadsheetml/2006/main" count="53" uniqueCount="32">
  <si>
    <t>No</t>
  </si>
  <si>
    <t>Akumulatif jawaban</t>
  </si>
  <si>
    <t>Total</t>
  </si>
  <si>
    <t>STS</t>
  </si>
  <si>
    <t>TS</t>
  </si>
  <si>
    <t>KS</t>
  </si>
  <si>
    <t>S</t>
  </si>
  <si>
    <t>SS</t>
  </si>
  <si>
    <t>X11</t>
  </si>
  <si>
    <t>X12</t>
  </si>
  <si>
    <t>X13</t>
  </si>
  <si>
    <t>X14</t>
  </si>
  <si>
    <t>X15</t>
  </si>
  <si>
    <t>X16</t>
  </si>
  <si>
    <t>X17</t>
  </si>
  <si>
    <t>Akumulasi Jawaban</t>
  </si>
  <si>
    <t>X21</t>
  </si>
  <si>
    <t>X22</t>
  </si>
  <si>
    <t>X23</t>
  </si>
  <si>
    <t>X24</t>
  </si>
  <si>
    <t>X25</t>
  </si>
  <si>
    <t>X26</t>
  </si>
  <si>
    <t>X27</t>
  </si>
  <si>
    <t>X28</t>
  </si>
  <si>
    <t>Item Pernyataan</t>
  </si>
  <si>
    <t>Y1</t>
  </si>
  <si>
    <t>Y2</t>
  </si>
  <si>
    <t>Y3</t>
  </si>
  <si>
    <t>Y4</t>
  </si>
  <si>
    <t>Y5</t>
  </si>
  <si>
    <t>Kategori</t>
  </si>
  <si>
    <t>Indeks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</si>
</sst>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21A4-0877-42CC-B004-D484168601C5}">
  <dimension ref="A1:J16"/>
  <sheetViews>
    <sheetView topLeftCell="A3" workbookViewId="0">
      <selection activeCell="L8" sqref="L8"/>
    </sheetView>
  </sheetViews>
  <sheetFormatPr defaultRowHeight="14.5" x14ac:dyDescent="0.35"/>
  <cols>
    <col min="1" max="1" width="3.453125" bestFit="1" customWidth="1"/>
    <col min="2" max="2" width="11.1796875" customWidth="1"/>
  </cols>
  <sheetData>
    <row r="1" spans="1:10" ht="15.5" x14ac:dyDescent="0.35">
      <c r="A1" s="8" t="s">
        <v>0</v>
      </c>
      <c r="B1" s="8" t="s">
        <v>24</v>
      </c>
      <c r="C1" s="8" t="s">
        <v>1</v>
      </c>
      <c r="D1" s="8"/>
      <c r="E1" s="8"/>
      <c r="F1" s="8"/>
      <c r="G1" s="8"/>
      <c r="H1" s="2" t="s">
        <v>2</v>
      </c>
      <c r="I1" s="2" t="s">
        <v>31</v>
      </c>
      <c r="J1" s="5" t="s">
        <v>30</v>
      </c>
    </row>
    <row r="2" spans="1:10" ht="15.5" x14ac:dyDescent="0.35">
      <c r="A2" s="8"/>
      <c r="B2" s="8"/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2"/>
      <c r="I2" s="2"/>
      <c r="J2" s="5"/>
    </row>
    <row r="3" spans="1:10" ht="15.5" x14ac:dyDescent="0.35">
      <c r="A3" s="8">
        <v>1</v>
      </c>
      <c r="B3" s="8" t="s">
        <v>8</v>
      </c>
      <c r="C3" s="4">
        <v>4</v>
      </c>
      <c r="D3" s="4">
        <v>2</v>
      </c>
      <c r="E3" s="4">
        <v>12</v>
      </c>
      <c r="F3" s="4">
        <v>51</v>
      </c>
      <c r="G3" s="4">
        <v>31</v>
      </c>
      <c r="H3" s="1">
        <f>SUM(C3:G3)</f>
        <v>100</v>
      </c>
      <c r="I3" s="2">
        <f>H4/5</f>
        <v>80.599999999999994</v>
      </c>
      <c r="J3" s="5" t="str">
        <f>IF(I3&lt;46.67,"Rendah",IF(I3&lt;73.35,"Sedang",IF(I3&gt;73.35,"Tinggi",0)))</f>
        <v>Tinggi</v>
      </c>
    </row>
    <row r="4" spans="1:10" ht="15.5" x14ac:dyDescent="0.35">
      <c r="A4" s="8"/>
      <c r="B4" s="8"/>
      <c r="C4" s="4">
        <f>C3*1</f>
        <v>4</v>
      </c>
      <c r="D4" s="4">
        <f>D3*2</f>
        <v>4</v>
      </c>
      <c r="E4" s="4">
        <f>E3*3</f>
        <v>36</v>
      </c>
      <c r="F4" s="4">
        <f>F3*4</f>
        <v>204</v>
      </c>
      <c r="G4" s="4">
        <f>G3*5</f>
        <v>155</v>
      </c>
      <c r="H4" s="1">
        <f>SUM(C4:G4)</f>
        <v>403</v>
      </c>
      <c r="I4" s="2"/>
      <c r="J4" s="5"/>
    </row>
    <row r="5" spans="1:10" ht="15.5" x14ac:dyDescent="0.35">
      <c r="A5" s="8">
        <v>2</v>
      </c>
      <c r="B5" s="8" t="s">
        <v>9</v>
      </c>
      <c r="C5" s="4">
        <v>5</v>
      </c>
      <c r="D5" s="4">
        <v>4</v>
      </c>
      <c r="E5" s="4">
        <v>17</v>
      </c>
      <c r="F5" s="4">
        <v>41</v>
      </c>
      <c r="G5" s="4">
        <v>33</v>
      </c>
      <c r="H5" s="1">
        <f t="shared" ref="H5:H12" si="0">SUM(C5:G5)</f>
        <v>100</v>
      </c>
      <c r="I5" s="2">
        <f>H6/5</f>
        <v>78.599999999999994</v>
      </c>
      <c r="J5" s="5" t="str">
        <f t="shared" ref="J5" si="1">IF(I5&lt;46.67,"Rendah",IF(I5&lt;73.35,"Sedang",IF(I5&gt;73.35,"Tinggi",0)))</f>
        <v>Tinggi</v>
      </c>
    </row>
    <row r="6" spans="1:10" ht="15.5" x14ac:dyDescent="0.35">
      <c r="A6" s="8"/>
      <c r="B6" s="8"/>
      <c r="C6" s="4">
        <f>C5*1</f>
        <v>5</v>
      </c>
      <c r="D6" s="4">
        <f>D5*2</f>
        <v>8</v>
      </c>
      <c r="E6" s="4">
        <f>E5*3</f>
        <v>51</v>
      </c>
      <c r="F6" s="4">
        <f>F5*4</f>
        <v>164</v>
      </c>
      <c r="G6" s="4">
        <f>G5*5</f>
        <v>165</v>
      </c>
      <c r="H6" s="1">
        <f t="shared" si="0"/>
        <v>393</v>
      </c>
      <c r="I6" s="2"/>
      <c r="J6" s="5"/>
    </row>
    <row r="7" spans="1:10" ht="15.5" x14ac:dyDescent="0.35">
      <c r="A7" s="8">
        <v>3</v>
      </c>
      <c r="B7" s="8" t="s">
        <v>10</v>
      </c>
      <c r="C7" s="4">
        <v>2</v>
      </c>
      <c r="D7" s="4">
        <v>3</v>
      </c>
      <c r="E7" s="4">
        <v>17</v>
      </c>
      <c r="F7" s="4">
        <v>43</v>
      </c>
      <c r="G7" s="4">
        <v>35</v>
      </c>
      <c r="H7" s="1">
        <f t="shared" si="0"/>
        <v>100</v>
      </c>
      <c r="I7" s="2">
        <f>H8/5</f>
        <v>81.2</v>
      </c>
      <c r="J7" s="5" t="str">
        <f t="shared" ref="J7" si="2">IF(I7&lt;46.67,"Rendah",IF(I7&lt;73.35,"Sedang",IF(I7&gt;73.35,"Tinggi",0)))</f>
        <v>Tinggi</v>
      </c>
    </row>
    <row r="8" spans="1:10" ht="15.5" x14ac:dyDescent="0.35">
      <c r="A8" s="8"/>
      <c r="B8" s="8"/>
      <c r="C8" s="4">
        <f>C7*1</f>
        <v>2</v>
      </c>
      <c r="D8" s="4">
        <f>D7*2</f>
        <v>6</v>
      </c>
      <c r="E8" s="4">
        <f>E7*3</f>
        <v>51</v>
      </c>
      <c r="F8" s="4">
        <f>F7*4</f>
        <v>172</v>
      </c>
      <c r="G8" s="4">
        <f>G7*5</f>
        <v>175</v>
      </c>
      <c r="H8" s="1">
        <f t="shared" si="0"/>
        <v>406</v>
      </c>
      <c r="I8" s="2"/>
      <c r="J8" s="5"/>
    </row>
    <row r="9" spans="1:10" ht="15.5" x14ac:dyDescent="0.35">
      <c r="A9" s="8">
        <v>4</v>
      </c>
      <c r="B9" s="8" t="s">
        <v>11</v>
      </c>
      <c r="C9" s="4">
        <v>4</v>
      </c>
      <c r="D9" s="4">
        <v>2</v>
      </c>
      <c r="E9" s="4">
        <v>19</v>
      </c>
      <c r="F9" s="4">
        <v>49</v>
      </c>
      <c r="G9" s="4">
        <v>26</v>
      </c>
      <c r="H9" s="1">
        <f t="shared" si="0"/>
        <v>100</v>
      </c>
      <c r="I9" s="2">
        <f>H10/5</f>
        <v>78.2</v>
      </c>
      <c r="J9" s="5" t="str">
        <f t="shared" ref="J9" si="3">IF(I9&lt;46.67,"Rendah",IF(I9&lt;73.35,"Sedang",IF(I9&gt;73.35,"Tinggi",0)))</f>
        <v>Tinggi</v>
      </c>
    </row>
    <row r="10" spans="1:10" ht="15.5" x14ac:dyDescent="0.35">
      <c r="A10" s="8"/>
      <c r="B10" s="8"/>
      <c r="C10" s="4">
        <f>C9*1</f>
        <v>4</v>
      </c>
      <c r="D10" s="4">
        <f>D9*2</f>
        <v>4</v>
      </c>
      <c r="E10" s="4">
        <f>E9*3</f>
        <v>57</v>
      </c>
      <c r="F10" s="4">
        <f>F9*4</f>
        <v>196</v>
      </c>
      <c r="G10" s="4">
        <f>G9*5</f>
        <v>130</v>
      </c>
      <c r="H10" s="1">
        <f t="shared" si="0"/>
        <v>391</v>
      </c>
      <c r="I10" s="2"/>
      <c r="J10" s="5"/>
    </row>
    <row r="11" spans="1:10" ht="15.5" x14ac:dyDescent="0.35">
      <c r="A11" s="8">
        <v>5</v>
      </c>
      <c r="B11" s="8" t="s">
        <v>12</v>
      </c>
      <c r="C11" s="4">
        <v>3</v>
      </c>
      <c r="D11" s="4">
        <v>2</v>
      </c>
      <c r="E11" s="4">
        <v>16</v>
      </c>
      <c r="F11" s="4">
        <v>46</v>
      </c>
      <c r="G11" s="4">
        <v>33</v>
      </c>
      <c r="H11" s="1">
        <f t="shared" si="0"/>
        <v>100</v>
      </c>
      <c r="I11" s="2">
        <f>H12/5</f>
        <v>80.8</v>
      </c>
      <c r="J11" s="5" t="str">
        <f t="shared" ref="J11:J15" si="4">IF(I11&lt;46.67,"Rendah",IF(I11&lt;73.35,"Sedang",IF(I11&gt;73.35,"Tinggi",0)))</f>
        <v>Tinggi</v>
      </c>
    </row>
    <row r="12" spans="1:10" ht="15.5" x14ac:dyDescent="0.35">
      <c r="A12" s="8"/>
      <c r="B12" s="8"/>
      <c r="C12" s="4">
        <f>C11*1</f>
        <v>3</v>
      </c>
      <c r="D12" s="4">
        <f>D11*2</f>
        <v>4</v>
      </c>
      <c r="E12" s="4">
        <f>E11*3</f>
        <v>48</v>
      </c>
      <c r="F12" s="4">
        <f>F11*4</f>
        <v>184</v>
      </c>
      <c r="G12" s="4">
        <f>G11*5</f>
        <v>165</v>
      </c>
      <c r="H12" s="1">
        <f t="shared" si="0"/>
        <v>404</v>
      </c>
      <c r="I12" s="2"/>
      <c r="J12" s="5"/>
    </row>
    <row r="13" spans="1:10" ht="15.5" x14ac:dyDescent="0.35">
      <c r="A13" s="8">
        <v>6</v>
      </c>
      <c r="B13" s="8" t="s">
        <v>13</v>
      </c>
      <c r="C13" s="4">
        <v>2</v>
      </c>
      <c r="D13" s="4">
        <v>1</v>
      </c>
      <c r="E13" s="4">
        <v>14</v>
      </c>
      <c r="F13" s="4">
        <v>53</v>
      </c>
      <c r="G13" s="4">
        <v>30</v>
      </c>
      <c r="H13" s="1">
        <f t="shared" ref="H13:H16" si="5">SUM(C13:G13)</f>
        <v>100</v>
      </c>
      <c r="I13" s="2">
        <f t="shared" ref="I13:I16" si="6">H14/5</f>
        <v>81.599999999999994</v>
      </c>
      <c r="J13" s="5" t="str">
        <f t="shared" si="4"/>
        <v>Tinggi</v>
      </c>
    </row>
    <row r="14" spans="1:10" ht="15.5" x14ac:dyDescent="0.35">
      <c r="A14" s="8"/>
      <c r="B14" s="8"/>
      <c r="C14" s="4">
        <f>C13*1</f>
        <v>2</v>
      </c>
      <c r="D14" s="4">
        <f>D13*2</f>
        <v>2</v>
      </c>
      <c r="E14" s="4">
        <f>E13*3</f>
        <v>42</v>
      </c>
      <c r="F14" s="4">
        <f>F13*4</f>
        <v>212</v>
      </c>
      <c r="G14" s="4">
        <f>G13*5</f>
        <v>150</v>
      </c>
      <c r="H14" s="1">
        <f t="shared" si="5"/>
        <v>408</v>
      </c>
      <c r="I14" s="2"/>
      <c r="J14" s="5"/>
    </row>
    <row r="15" spans="1:10" ht="15.5" x14ac:dyDescent="0.35">
      <c r="A15" s="8">
        <v>7</v>
      </c>
      <c r="B15" s="8" t="s">
        <v>14</v>
      </c>
      <c r="C15" s="4">
        <v>5</v>
      </c>
      <c r="D15" s="4">
        <v>1</v>
      </c>
      <c r="E15" s="4">
        <v>11</v>
      </c>
      <c r="F15" s="4">
        <v>47</v>
      </c>
      <c r="G15" s="4">
        <v>36</v>
      </c>
      <c r="H15" s="1">
        <f t="shared" si="5"/>
        <v>100</v>
      </c>
      <c r="I15" s="2">
        <f t="shared" ref="I15:I16" si="7">H16/5</f>
        <v>81.599999999999994</v>
      </c>
      <c r="J15" s="5" t="str">
        <f t="shared" si="4"/>
        <v>Tinggi</v>
      </c>
    </row>
    <row r="16" spans="1:10" ht="15.5" x14ac:dyDescent="0.35">
      <c r="A16" s="8"/>
      <c r="B16" s="8"/>
      <c r="C16" s="4">
        <f>C15*1</f>
        <v>5</v>
      </c>
      <c r="D16" s="4">
        <f>D15*2</f>
        <v>2</v>
      </c>
      <c r="E16" s="4">
        <f>E15*3</f>
        <v>33</v>
      </c>
      <c r="F16" s="4">
        <f>F15*4</f>
        <v>188</v>
      </c>
      <c r="G16" s="4">
        <f>G15*5</f>
        <v>180</v>
      </c>
      <c r="H16" s="1">
        <f t="shared" si="5"/>
        <v>408</v>
      </c>
      <c r="I16" s="2"/>
      <c r="J16" s="5"/>
    </row>
  </sheetData>
  <mergeCells count="34">
    <mergeCell ref="I15:I16"/>
    <mergeCell ref="J15:J16"/>
    <mergeCell ref="I9:I10"/>
    <mergeCell ref="J9:J10"/>
    <mergeCell ref="I11:I12"/>
    <mergeCell ref="J11:J12"/>
    <mergeCell ref="I13:I14"/>
    <mergeCell ref="J13:J14"/>
    <mergeCell ref="J1:J2"/>
    <mergeCell ref="I3:I4"/>
    <mergeCell ref="J3:J4"/>
    <mergeCell ref="I5:I6"/>
    <mergeCell ref="J5:J6"/>
    <mergeCell ref="I7:I8"/>
    <mergeCell ref="J7:J8"/>
    <mergeCell ref="A11:A12"/>
    <mergeCell ref="B11:B12"/>
    <mergeCell ref="A13:A14"/>
    <mergeCell ref="B13:B14"/>
    <mergeCell ref="A15:A16"/>
    <mergeCell ref="B15:B16"/>
    <mergeCell ref="A5:A6"/>
    <mergeCell ref="B5:B6"/>
    <mergeCell ref="A7:A8"/>
    <mergeCell ref="B7:B8"/>
    <mergeCell ref="A9:A10"/>
    <mergeCell ref="B9:B10"/>
    <mergeCell ref="A1:A2"/>
    <mergeCell ref="B1:B2"/>
    <mergeCell ref="C1:G1"/>
    <mergeCell ref="A3:A4"/>
    <mergeCell ref="B3:B4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2471-2C64-4845-876E-60ACE08A1681}">
  <dimension ref="A1:J18"/>
  <sheetViews>
    <sheetView workbookViewId="0">
      <selection activeCell="C2" sqref="C2:G2"/>
    </sheetView>
  </sheetViews>
  <sheetFormatPr defaultRowHeight="14.5" x14ac:dyDescent="0.35"/>
  <cols>
    <col min="1" max="1" width="3.26953125" bestFit="1" customWidth="1"/>
    <col min="2" max="2" width="9.36328125" customWidth="1"/>
  </cols>
  <sheetData>
    <row r="1" spans="1:10" x14ac:dyDescent="0.35">
      <c r="A1" s="6" t="s">
        <v>0</v>
      </c>
      <c r="B1" s="6" t="s">
        <v>24</v>
      </c>
      <c r="C1" s="6" t="s">
        <v>15</v>
      </c>
      <c r="D1" s="6"/>
      <c r="E1" s="6"/>
      <c r="F1" s="6"/>
      <c r="G1" s="6"/>
      <c r="H1" s="2" t="s">
        <v>2</v>
      </c>
      <c r="I1" s="2" t="s">
        <v>31</v>
      </c>
      <c r="J1" s="5" t="s">
        <v>30</v>
      </c>
    </row>
    <row r="2" spans="1:10" x14ac:dyDescent="0.35">
      <c r="A2" s="6"/>
      <c r="B2" s="6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2"/>
      <c r="I2" s="2"/>
      <c r="J2" s="5"/>
    </row>
    <row r="3" spans="1:10" ht="15.5" x14ac:dyDescent="0.35">
      <c r="A3" s="6">
        <v>1</v>
      </c>
      <c r="B3" s="6" t="s">
        <v>16</v>
      </c>
      <c r="C3" s="4">
        <v>2</v>
      </c>
      <c r="D3" s="4">
        <v>2</v>
      </c>
      <c r="E3" s="4">
        <v>15</v>
      </c>
      <c r="F3" s="4">
        <v>50</v>
      </c>
      <c r="G3" s="4">
        <v>31</v>
      </c>
      <c r="H3" s="1">
        <f>SUM(C3:G3)</f>
        <v>100</v>
      </c>
      <c r="I3" s="2">
        <f>H4/5</f>
        <v>81.2</v>
      </c>
      <c r="J3" s="5" t="str">
        <f>IF(I3&lt;46.67,"Rendah",IF(I3&lt;73.35,"Sedang",IF(I3&gt;73.35,"Tinggi",0)))</f>
        <v>Tinggi</v>
      </c>
    </row>
    <row r="4" spans="1:10" ht="15.5" x14ac:dyDescent="0.35">
      <c r="A4" s="6"/>
      <c r="B4" s="6"/>
      <c r="C4" s="4">
        <f>C3*1</f>
        <v>2</v>
      </c>
      <c r="D4" s="4">
        <f>D3*2</f>
        <v>4</v>
      </c>
      <c r="E4" s="4">
        <f>E3*3</f>
        <v>45</v>
      </c>
      <c r="F4" s="4">
        <f>F3*4</f>
        <v>200</v>
      </c>
      <c r="G4" s="4">
        <f>G3*5</f>
        <v>155</v>
      </c>
      <c r="H4" s="1">
        <f>SUM(C4:G4)</f>
        <v>406</v>
      </c>
      <c r="I4" s="2"/>
      <c r="J4" s="5"/>
    </row>
    <row r="5" spans="1:10" ht="15.5" x14ac:dyDescent="0.35">
      <c r="A5" s="6">
        <v>2</v>
      </c>
      <c r="B5" s="6" t="s">
        <v>17</v>
      </c>
      <c r="C5" s="4">
        <v>2</v>
      </c>
      <c r="D5" s="4">
        <v>2</v>
      </c>
      <c r="E5" s="4">
        <v>12</v>
      </c>
      <c r="F5" s="4">
        <v>43</v>
      </c>
      <c r="G5" s="4">
        <v>41</v>
      </c>
      <c r="H5" s="1">
        <f t="shared" ref="H5:H18" si="0">SUM(C5:G5)</f>
        <v>100</v>
      </c>
      <c r="I5" s="2">
        <f>H6/5</f>
        <v>83.8</v>
      </c>
      <c r="J5" s="5" t="str">
        <f t="shared" ref="J5" si="1">IF(I5&lt;46.67,"Rendah",IF(I5&lt;73.35,"Sedang",IF(I5&gt;73.35,"Tinggi",0)))</f>
        <v>Tinggi</v>
      </c>
    </row>
    <row r="6" spans="1:10" ht="15.5" x14ac:dyDescent="0.35">
      <c r="A6" s="6"/>
      <c r="B6" s="6"/>
      <c r="C6" s="4">
        <f>C5*1</f>
        <v>2</v>
      </c>
      <c r="D6" s="4">
        <f>D5*2</f>
        <v>4</v>
      </c>
      <c r="E6" s="4">
        <f>E5*3</f>
        <v>36</v>
      </c>
      <c r="F6" s="4">
        <f>F5*4</f>
        <v>172</v>
      </c>
      <c r="G6" s="4">
        <f>G5*5</f>
        <v>205</v>
      </c>
      <c r="H6" s="1">
        <f t="shared" si="0"/>
        <v>419</v>
      </c>
      <c r="I6" s="2"/>
      <c r="J6" s="5"/>
    </row>
    <row r="7" spans="1:10" ht="15.5" x14ac:dyDescent="0.35">
      <c r="A7" s="6">
        <v>3</v>
      </c>
      <c r="B7" s="6" t="s">
        <v>18</v>
      </c>
      <c r="C7" s="4">
        <v>3</v>
      </c>
      <c r="D7" s="4">
        <v>8</v>
      </c>
      <c r="E7" s="4">
        <v>16</v>
      </c>
      <c r="F7" s="4">
        <v>49</v>
      </c>
      <c r="G7" s="4">
        <v>24</v>
      </c>
      <c r="H7" s="1">
        <f t="shared" si="0"/>
        <v>100</v>
      </c>
      <c r="I7" s="2">
        <f>H8/5</f>
        <v>76.599999999999994</v>
      </c>
      <c r="J7" s="5" t="str">
        <f t="shared" ref="J7" si="2">IF(I7&lt;46.67,"Rendah",IF(I7&lt;73.35,"Sedang",IF(I7&gt;73.35,"Tinggi",0)))</f>
        <v>Tinggi</v>
      </c>
    </row>
    <row r="8" spans="1:10" ht="15.5" x14ac:dyDescent="0.35">
      <c r="A8" s="6"/>
      <c r="B8" s="6"/>
      <c r="C8" s="4">
        <f>C7*1</f>
        <v>3</v>
      </c>
      <c r="D8" s="4">
        <f>D7*2</f>
        <v>16</v>
      </c>
      <c r="E8" s="4">
        <f>E7*3</f>
        <v>48</v>
      </c>
      <c r="F8" s="4">
        <f>F7*4</f>
        <v>196</v>
      </c>
      <c r="G8" s="4">
        <f>G7*5</f>
        <v>120</v>
      </c>
      <c r="H8" s="1">
        <f t="shared" si="0"/>
        <v>383</v>
      </c>
      <c r="I8" s="2"/>
      <c r="J8" s="5"/>
    </row>
    <row r="9" spans="1:10" ht="15.5" x14ac:dyDescent="0.35">
      <c r="A9" s="6">
        <v>4</v>
      </c>
      <c r="B9" s="6" t="s">
        <v>19</v>
      </c>
      <c r="C9" s="4">
        <v>1</v>
      </c>
      <c r="D9" s="4">
        <v>6</v>
      </c>
      <c r="E9" s="4">
        <v>22</v>
      </c>
      <c r="F9" s="4">
        <v>39</v>
      </c>
      <c r="G9" s="4">
        <v>32</v>
      </c>
      <c r="H9" s="1">
        <f t="shared" si="0"/>
        <v>100</v>
      </c>
      <c r="I9" s="2">
        <f>H10/5</f>
        <v>79</v>
      </c>
      <c r="J9" s="5" t="str">
        <f t="shared" ref="J9" si="3">IF(I9&lt;46.67,"Rendah",IF(I9&lt;73.35,"Sedang",IF(I9&gt;73.35,"Tinggi",0)))</f>
        <v>Tinggi</v>
      </c>
    </row>
    <row r="10" spans="1:10" ht="15.5" x14ac:dyDescent="0.35">
      <c r="A10" s="6"/>
      <c r="B10" s="6"/>
      <c r="C10" s="4">
        <f>C9*1</f>
        <v>1</v>
      </c>
      <c r="D10" s="4">
        <f>D9*2</f>
        <v>12</v>
      </c>
      <c r="E10" s="4">
        <f>E9*3</f>
        <v>66</v>
      </c>
      <c r="F10" s="4">
        <f>F9*4</f>
        <v>156</v>
      </c>
      <c r="G10" s="4">
        <f>G9*5</f>
        <v>160</v>
      </c>
      <c r="H10" s="1">
        <f t="shared" si="0"/>
        <v>395</v>
      </c>
      <c r="I10" s="2"/>
      <c r="J10" s="5"/>
    </row>
    <row r="11" spans="1:10" ht="15.5" x14ac:dyDescent="0.35">
      <c r="A11" s="6">
        <v>5</v>
      </c>
      <c r="B11" s="6" t="s">
        <v>20</v>
      </c>
      <c r="C11" s="4">
        <v>1</v>
      </c>
      <c r="D11" s="4">
        <v>3</v>
      </c>
      <c r="E11" s="4">
        <v>12</v>
      </c>
      <c r="F11" s="4">
        <v>49</v>
      </c>
      <c r="G11" s="4">
        <v>35</v>
      </c>
      <c r="H11" s="1">
        <f t="shared" si="0"/>
        <v>100</v>
      </c>
      <c r="I11" s="2">
        <f>H12/5</f>
        <v>82.8</v>
      </c>
      <c r="J11" s="5" t="str">
        <f t="shared" ref="J11" si="4">IF(I11&lt;46.67,"Rendah",IF(I11&lt;73.35,"Sedang",IF(I11&gt;73.35,"Tinggi",0)))</f>
        <v>Tinggi</v>
      </c>
    </row>
    <row r="12" spans="1:10" ht="15.5" x14ac:dyDescent="0.35">
      <c r="A12" s="6"/>
      <c r="B12" s="6"/>
      <c r="C12" s="4">
        <f>C11*1</f>
        <v>1</v>
      </c>
      <c r="D12" s="4">
        <f>D11*2</f>
        <v>6</v>
      </c>
      <c r="E12" s="4">
        <f>E11*3</f>
        <v>36</v>
      </c>
      <c r="F12" s="4">
        <f>F11*4</f>
        <v>196</v>
      </c>
      <c r="G12" s="4">
        <f>G11*5</f>
        <v>175</v>
      </c>
      <c r="H12" s="1">
        <f t="shared" si="0"/>
        <v>414</v>
      </c>
      <c r="I12" s="2"/>
      <c r="J12" s="5"/>
    </row>
    <row r="13" spans="1:10" ht="15.5" x14ac:dyDescent="0.35">
      <c r="A13" s="6">
        <v>6</v>
      </c>
      <c r="B13" s="6" t="s">
        <v>21</v>
      </c>
      <c r="C13" s="4">
        <v>2</v>
      </c>
      <c r="D13" s="4">
        <v>4</v>
      </c>
      <c r="E13" s="4">
        <v>17</v>
      </c>
      <c r="F13" s="4">
        <v>47</v>
      </c>
      <c r="G13" s="4">
        <v>30</v>
      </c>
      <c r="H13" s="1">
        <f t="shared" si="0"/>
        <v>100</v>
      </c>
      <c r="I13" s="2">
        <f>H14/5</f>
        <v>79.8</v>
      </c>
      <c r="J13" s="5" t="str">
        <f t="shared" ref="J13:J17" si="5">IF(I13&lt;46.67,"Rendah",IF(I13&lt;73.35,"Sedang",IF(I13&gt;73.35,"Tinggi",0)))</f>
        <v>Tinggi</v>
      </c>
    </row>
    <row r="14" spans="1:10" ht="15.5" x14ac:dyDescent="0.35">
      <c r="A14" s="6"/>
      <c r="B14" s="6"/>
      <c r="C14" s="4">
        <f>C13*1</f>
        <v>2</v>
      </c>
      <c r="D14" s="4">
        <f>D13*2</f>
        <v>8</v>
      </c>
      <c r="E14" s="4">
        <f>E13*3</f>
        <v>51</v>
      </c>
      <c r="F14" s="4">
        <f>F13*4</f>
        <v>188</v>
      </c>
      <c r="G14" s="4">
        <f>G13*5</f>
        <v>150</v>
      </c>
      <c r="H14" s="1">
        <f t="shared" si="0"/>
        <v>399</v>
      </c>
      <c r="I14" s="2"/>
      <c r="J14" s="5"/>
    </row>
    <row r="15" spans="1:10" ht="15.5" x14ac:dyDescent="0.35">
      <c r="A15" s="6">
        <v>7</v>
      </c>
      <c r="B15" s="6" t="s">
        <v>22</v>
      </c>
      <c r="C15" s="4">
        <v>1</v>
      </c>
      <c r="D15" s="4">
        <v>3</v>
      </c>
      <c r="E15" s="4">
        <v>18</v>
      </c>
      <c r="F15" s="4">
        <v>46</v>
      </c>
      <c r="G15" s="4">
        <v>32</v>
      </c>
      <c r="H15" s="1">
        <f t="shared" si="0"/>
        <v>100</v>
      </c>
      <c r="I15" s="2">
        <f>H16/5</f>
        <v>81</v>
      </c>
      <c r="J15" s="5" t="str">
        <f t="shared" si="5"/>
        <v>Tinggi</v>
      </c>
    </row>
    <row r="16" spans="1:10" ht="15.5" x14ac:dyDescent="0.35">
      <c r="A16" s="6"/>
      <c r="B16" s="6"/>
      <c r="C16" s="4">
        <f>C15*1</f>
        <v>1</v>
      </c>
      <c r="D16" s="4">
        <f>D15*2</f>
        <v>6</v>
      </c>
      <c r="E16" s="4">
        <f>E15*3</f>
        <v>54</v>
      </c>
      <c r="F16" s="4">
        <f>F15*4</f>
        <v>184</v>
      </c>
      <c r="G16" s="4">
        <f>G15*5</f>
        <v>160</v>
      </c>
      <c r="H16" s="1">
        <f t="shared" si="0"/>
        <v>405</v>
      </c>
      <c r="I16" s="2"/>
      <c r="J16" s="5"/>
    </row>
    <row r="17" spans="1:10" ht="15.5" x14ac:dyDescent="0.35">
      <c r="A17" s="6">
        <v>8</v>
      </c>
      <c r="B17" s="6" t="s">
        <v>23</v>
      </c>
      <c r="C17" s="4">
        <v>2</v>
      </c>
      <c r="D17" s="4">
        <v>7</v>
      </c>
      <c r="E17" s="4">
        <v>10</v>
      </c>
      <c r="F17" s="4">
        <v>45</v>
      </c>
      <c r="G17" s="4">
        <v>36</v>
      </c>
      <c r="H17" s="1">
        <f t="shared" si="0"/>
        <v>100</v>
      </c>
      <c r="I17" s="2">
        <f>H18/5</f>
        <v>81.2</v>
      </c>
      <c r="J17" s="5" t="str">
        <f t="shared" si="5"/>
        <v>Tinggi</v>
      </c>
    </row>
    <row r="18" spans="1:10" ht="15.5" x14ac:dyDescent="0.35">
      <c r="A18" s="6"/>
      <c r="B18" s="6"/>
      <c r="C18" s="4">
        <f>C17*1</f>
        <v>2</v>
      </c>
      <c r="D18" s="4">
        <f>D17*2</f>
        <v>14</v>
      </c>
      <c r="E18" s="4">
        <f>E17*3</f>
        <v>30</v>
      </c>
      <c r="F18" s="4">
        <f>F17*4</f>
        <v>180</v>
      </c>
      <c r="G18" s="4">
        <f>G17*5</f>
        <v>180</v>
      </c>
      <c r="H18" s="1">
        <f t="shared" si="0"/>
        <v>406</v>
      </c>
      <c r="I18" s="2"/>
      <c r="J18" s="5"/>
    </row>
  </sheetData>
  <mergeCells count="38">
    <mergeCell ref="I13:I14"/>
    <mergeCell ref="J13:J14"/>
    <mergeCell ref="I15:I16"/>
    <mergeCell ref="J15:J16"/>
    <mergeCell ref="I17:I18"/>
    <mergeCell ref="J17:J18"/>
    <mergeCell ref="I7:I8"/>
    <mergeCell ref="J7:J8"/>
    <mergeCell ref="I9:I10"/>
    <mergeCell ref="J9:J10"/>
    <mergeCell ref="I11:I12"/>
    <mergeCell ref="J11:J12"/>
    <mergeCell ref="A17:A18"/>
    <mergeCell ref="B17:B18"/>
    <mergeCell ref="B1:B2"/>
    <mergeCell ref="H1:H2"/>
    <mergeCell ref="I1:I2"/>
    <mergeCell ref="J1:J2"/>
    <mergeCell ref="I3:I4"/>
    <mergeCell ref="J3:J4"/>
    <mergeCell ref="I5:I6"/>
    <mergeCell ref="J5:J6"/>
    <mergeCell ref="A11:A12"/>
    <mergeCell ref="B11:B12"/>
    <mergeCell ref="A13:A14"/>
    <mergeCell ref="B13:B14"/>
    <mergeCell ref="A15:A16"/>
    <mergeCell ref="B15:B16"/>
    <mergeCell ref="A5:A6"/>
    <mergeCell ref="B5:B6"/>
    <mergeCell ref="A7:A8"/>
    <mergeCell ref="B7:B8"/>
    <mergeCell ref="A9:A10"/>
    <mergeCell ref="B9:B10"/>
    <mergeCell ref="A1:A2"/>
    <mergeCell ref="C1:G1"/>
    <mergeCell ref="A3:A4"/>
    <mergeCell ref="B3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1C1D-D815-4CCC-BCD2-268EBBE37933}">
  <dimension ref="A1:J12"/>
  <sheetViews>
    <sheetView tabSelected="1" workbookViewId="0">
      <selection activeCell="C2" sqref="C2:G2"/>
    </sheetView>
  </sheetViews>
  <sheetFormatPr defaultRowHeight="14.5" x14ac:dyDescent="0.35"/>
  <cols>
    <col min="1" max="1" width="3.453125" bestFit="1" customWidth="1"/>
    <col min="2" max="2" width="12.08984375" customWidth="1"/>
  </cols>
  <sheetData>
    <row r="1" spans="1:10" ht="15.5" x14ac:dyDescent="0.35">
      <c r="A1" s="2" t="s">
        <v>0</v>
      </c>
      <c r="B1" s="2" t="s">
        <v>24</v>
      </c>
      <c r="C1" s="2" t="s">
        <v>15</v>
      </c>
      <c r="D1" s="2"/>
      <c r="E1" s="2"/>
      <c r="F1" s="2"/>
      <c r="G1" s="2"/>
      <c r="H1" s="2" t="s">
        <v>2</v>
      </c>
      <c r="I1" s="2" t="s">
        <v>31</v>
      </c>
      <c r="J1" s="5" t="s">
        <v>30</v>
      </c>
    </row>
    <row r="2" spans="1:10" x14ac:dyDescent="0.35">
      <c r="A2" s="2"/>
      <c r="B2" s="2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2"/>
      <c r="I2" s="2"/>
      <c r="J2" s="5"/>
    </row>
    <row r="3" spans="1:10" ht="15.5" x14ac:dyDescent="0.35">
      <c r="A3" s="2">
        <v>1</v>
      </c>
      <c r="B3" s="2" t="s">
        <v>25</v>
      </c>
      <c r="C3" s="3">
        <v>2</v>
      </c>
      <c r="D3" s="3">
        <v>5</v>
      </c>
      <c r="E3" s="3">
        <v>11</v>
      </c>
      <c r="F3" s="3">
        <v>39</v>
      </c>
      <c r="G3" s="3">
        <v>43</v>
      </c>
      <c r="H3" s="1">
        <f>SUM(C3:G3)</f>
        <v>100</v>
      </c>
      <c r="I3" s="2">
        <f>H4/5</f>
        <v>83.2</v>
      </c>
      <c r="J3" s="5" t="str">
        <f>IF(I3&lt;46.67,"Rendah",IF(I3&lt;73.35,"Sedang",IF(I3&gt;73.35,"Tinggi",0)))</f>
        <v>Tinggi</v>
      </c>
    </row>
    <row r="4" spans="1:10" ht="15.5" x14ac:dyDescent="0.35">
      <c r="A4" s="2"/>
      <c r="B4" s="2"/>
      <c r="C4" s="4">
        <f>C3*1</f>
        <v>2</v>
      </c>
      <c r="D4" s="4">
        <f>D3*2</f>
        <v>10</v>
      </c>
      <c r="E4" s="4">
        <f>E3*3</f>
        <v>33</v>
      </c>
      <c r="F4" s="4">
        <f>F3*4</f>
        <v>156</v>
      </c>
      <c r="G4" s="4">
        <f>G3*5</f>
        <v>215</v>
      </c>
      <c r="H4" s="1">
        <f>SUM(C4:G4)</f>
        <v>416</v>
      </c>
      <c r="I4" s="2"/>
      <c r="J4" s="5"/>
    </row>
    <row r="5" spans="1:10" ht="15.5" x14ac:dyDescent="0.35">
      <c r="A5" s="2">
        <v>2</v>
      </c>
      <c r="B5" s="2" t="s">
        <v>26</v>
      </c>
      <c r="C5" s="1">
        <v>0</v>
      </c>
      <c r="D5" s="3">
        <v>3</v>
      </c>
      <c r="E5" s="3">
        <v>7</v>
      </c>
      <c r="F5" s="3">
        <v>48</v>
      </c>
      <c r="G5" s="3">
        <v>42</v>
      </c>
      <c r="H5" s="1">
        <f t="shared" ref="H5:H12" si="0">SUM(C5:G5)</f>
        <v>100</v>
      </c>
      <c r="I5" s="2">
        <f>H6/5</f>
        <v>85.8</v>
      </c>
      <c r="J5" s="5" t="str">
        <f t="shared" ref="J5" si="1">IF(I5&lt;46.67,"Rendah",IF(I5&lt;73.35,"Sedang",IF(I5&gt;73.35,"Tinggi",0)))</f>
        <v>Tinggi</v>
      </c>
    </row>
    <row r="6" spans="1:10" ht="15.5" x14ac:dyDescent="0.35">
      <c r="A6" s="2"/>
      <c r="B6" s="2"/>
      <c r="C6" s="4">
        <f>C5*1</f>
        <v>0</v>
      </c>
      <c r="D6" s="4">
        <f>D5*2</f>
        <v>6</v>
      </c>
      <c r="E6" s="4">
        <f>E5*3</f>
        <v>21</v>
      </c>
      <c r="F6" s="4">
        <f>F5*4</f>
        <v>192</v>
      </c>
      <c r="G6" s="4">
        <f>G5*5</f>
        <v>210</v>
      </c>
      <c r="H6" s="1">
        <f t="shared" si="0"/>
        <v>429</v>
      </c>
      <c r="I6" s="2"/>
      <c r="J6" s="5"/>
    </row>
    <row r="7" spans="1:10" ht="15.5" x14ac:dyDescent="0.35">
      <c r="A7" s="2">
        <v>3</v>
      </c>
      <c r="B7" s="2" t="s">
        <v>27</v>
      </c>
      <c r="C7" s="3">
        <v>1</v>
      </c>
      <c r="D7" s="3">
        <v>1</v>
      </c>
      <c r="E7" s="3">
        <v>19</v>
      </c>
      <c r="F7" s="3">
        <v>54</v>
      </c>
      <c r="G7" s="3">
        <v>25</v>
      </c>
      <c r="H7" s="1">
        <f t="shared" si="0"/>
        <v>100</v>
      </c>
      <c r="I7" s="2">
        <f>H8/5</f>
        <v>80.2</v>
      </c>
      <c r="J7" s="5" t="str">
        <f t="shared" ref="J7" si="2">IF(I7&lt;46.67,"Rendah",IF(I7&lt;73.35,"Sedang",IF(I7&gt;73.35,"Tinggi",0)))</f>
        <v>Tinggi</v>
      </c>
    </row>
    <row r="8" spans="1:10" ht="15.5" x14ac:dyDescent="0.35">
      <c r="A8" s="2"/>
      <c r="B8" s="2"/>
      <c r="C8" s="4">
        <f>C7*1</f>
        <v>1</v>
      </c>
      <c r="D8" s="4">
        <f>D7*2</f>
        <v>2</v>
      </c>
      <c r="E8" s="4">
        <f>E7*3</f>
        <v>57</v>
      </c>
      <c r="F8" s="4">
        <f>F7*4</f>
        <v>216</v>
      </c>
      <c r="G8" s="4">
        <f>G7*5</f>
        <v>125</v>
      </c>
      <c r="H8" s="1">
        <f t="shared" si="0"/>
        <v>401</v>
      </c>
      <c r="I8" s="2"/>
      <c r="J8" s="5"/>
    </row>
    <row r="9" spans="1:10" ht="15.5" x14ac:dyDescent="0.35">
      <c r="A9" s="2">
        <v>4</v>
      </c>
      <c r="B9" s="2" t="s">
        <v>28</v>
      </c>
      <c r="C9" s="3">
        <v>2</v>
      </c>
      <c r="D9" s="3">
        <v>5</v>
      </c>
      <c r="E9" s="3">
        <v>12</v>
      </c>
      <c r="F9" s="3">
        <v>50</v>
      </c>
      <c r="G9" s="3">
        <v>31</v>
      </c>
      <c r="H9" s="1">
        <f t="shared" si="0"/>
        <v>100</v>
      </c>
      <c r="I9" s="2">
        <f>H10/5</f>
        <v>80.599999999999994</v>
      </c>
      <c r="J9" s="5" t="str">
        <f t="shared" ref="J9" si="3">IF(I9&lt;46.67,"Rendah",IF(I9&lt;73.35,"Sedang",IF(I9&gt;73.35,"Tinggi",0)))</f>
        <v>Tinggi</v>
      </c>
    </row>
    <row r="10" spans="1:10" ht="15.5" x14ac:dyDescent="0.35">
      <c r="A10" s="2"/>
      <c r="B10" s="2"/>
      <c r="C10" s="4">
        <f>C9*1</f>
        <v>2</v>
      </c>
      <c r="D10" s="4">
        <f>D9*2</f>
        <v>10</v>
      </c>
      <c r="E10" s="4">
        <f>E9*3</f>
        <v>36</v>
      </c>
      <c r="F10" s="4">
        <f>F9*4</f>
        <v>200</v>
      </c>
      <c r="G10" s="4">
        <f>G9*5</f>
        <v>155</v>
      </c>
      <c r="H10" s="1">
        <f t="shared" si="0"/>
        <v>403</v>
      </c>
      <c r="I10" s="2"/>
      <c r="J10" s="5"/>
    </row>
    <row r="11" spans="1:10" ht="15.5" x14ac:dyDescent="0.35">
      <c r="A11" s="2">
        <v>5</v>
      </c>
      <c r="B11" s="2" t="s">
        <v>29</v>
      </c>
      <c r="C11" s="3">
        <v>2</v>
      </c>
      <c r="D11" s="3">
        <v>4</v>
      </c>
      <c r="E11" s="3">
        <v>13</v>
      </c>
      <c r="F11" s="3">
        <v>52</v>
      </c>
      <c r="G11" s="3">
        <v>29</v>
      </c>
      <c r="H11" s="1">
        <f t="shared" si="0"/>
        <v>100</v>
      </c>
      <c r="I11" s="2">
        <f>H12/5</f>
        <v>80.400000000000006</v>
      </c>
      <c r="J11" s="5" t="str">
        <f t="shared" ref="J11" si="4">IF(I11&lt;46.67,"Rendah",IF(I11&lt;73.35,"Sedang",IF(I11&gt;73.35,"Tinggi",0)))</f>
        <v>Tinggi</v>
      </c>
    </row>
    <row r="12" spans="1:10" ht="15.5" x14ac:dyDescent="0.35">
      <c r="A12" s="2"/>
      <c r="B12" s="2"/>
      <c r="C12" s="4">
        <f>C11*1</f>
        <v>2</v>
      </c>
      <c r="D12" s="4">
        <f>D11*2</f>
        <v>8</v>
      </c>
      <c r="E12" s="4">
        <f>E11*3</f>
        <v>39</v>
      </c>
      <c r="F12" s="4">
        <f>F11*4</f>
        <v>208</v>
      </c>
      <c r="G12" s="4">
        <f>G11*5</f>
        <v>145</v>
      </c>
      <c r="H12" s="1">
        <f t="shared" si="0"/>
        <v>402</v>
      </c>
      <c r="I12" s="2"/>
      <c r="J12" s="5"/>
    </row>
  </sheetData>
  <mergeCells count="26">
    <mergeCell ref="I9:I10"/>
    <mergeCell ref="I11:I12"/>
    <mergeCell ref="J5:J6"/>
    <mergeCell ref="J7:J8"/>
    <mergeCell ref="J9:J10"/>
    <mergeCell ref="J11:J12"/>
    <mergeCell ref="A11:A12"/>
    <mergeCell ref="B11:B12"/>
    <mergeCell ref="B1:B2"/>
    <mergeCell ref="I3:I4"/>
    <mergeCell ref="J1:J2"/>
    <mergeCell ref="J3:J4"/>
    <mergeCell ref="H1:H2"/>
    <mergeCell ref="I1:I2"/>
    <mergeCell ref="I5:I6"/>
    <mergeCell ref="I7:I8"/>
    <mergeCell ref="A5:A6"/>
    <mergeCell ref="B5:B6"/>
    <mergeCell ref="A7:A8"/>
    <mergeCell ref="B7:B8"/>
    <mergeCell ref="A9:A10"/>
    <mergeCell ref="B9:B10"/>
    <mergeCell ref="A1:A2"/>
    <mergeCell ref="C1:G1"/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4.5</vt:lpstr>
      <vt:lpstr>4.6</vt:lpstr>
      <vt:lpstr>4.7</vt:lpstr>
      <vt:lpstr>'4.5'!_Hlk193847414</vt:lpstr>
      <vt:lpstr>'4.6'!_Hlk193847854</vt:lpstr>
      <vt:lpstr>'4.7'!_Hlk193848682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2025-06-03T22:25:42Z</dcterms:created>
  <dcterms:modified xsi:type="dcterms:W3CDTF">2025-06-03T22:42:42Z</dcterms:modified>
</cp:coreProperties>
</file>